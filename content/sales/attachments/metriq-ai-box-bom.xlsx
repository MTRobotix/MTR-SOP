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<sst xmlns="http://schemas.openxmlformats.org/spreadsheetml/2006/main" count="97" uniqueCount="94">
  <si>
    <t xml:space="preserve">MetriQ / AI_BOX — Bill of Materials</t>
  </si>
  <si>
    <t xml:space="preserve">Two compute options are priced separately (Option A: on-device GPU / Option B: CPU-only, no GPU). All prices are approximate USD list prices found via web search, single-unit, before shipping/duty/VAT — verify with a distributor before ordering. Jetson pricing is volatile after NVIDIA's July 2026 increase.</t>
  </si>
  <si>
    <t xml:space="preserve">Category</t>
  </si>
  <si>
    <t xml:space="preserve">Item</t>
  </si>
  <si>
    <t xml:space="preserve">Model / Spec</t>
  </si>
  <si>
    <t xml:space="preserve">Qty</t>
  </si>
  <si>
    <t xml:space="preserve">Unit Price (USD)</t>
  </si>
  <si>
    <t xml:space="preserve">Extended (USD)</t>
  </si>
  <si>
    <t xml:space="preserve">Notes / Source</t>
  </si>
  <si>
    <t xml:space="preserve">COMPUTE — OPTION A: Edge GPU (on-device deep learning inference, e.g. YOLO-class defect detection)</t>
  </si>
  <si>
    <t xml:space="preserve">Compute</t>
  </si>
  <si>
    <t xml:space="preserve">NVIDIA Jetson AGX Orin 64GB Developer Kit</t>
  </si>
  <si>
    <t xml:space="preserve">275 TOPS, Ampere GPU, carrier board incl.</t>
  </si>
  <si>
    <t xml:space="preserve">List price varies widely by retailer/region ($2,000–$4,000) after Jul 2026 NVIDIA price hikes — shop around</t>
  </si>
  <si>
    <t xml:space="preserve">Storage</t>
  </si>
  <si>
    <t xml:space="preserve">NVMe M.2 SSD, 1TB</t>
  </si>
  <si>
    <t xml:space="preserve">PCIe Gen4, for OS + model weights</t>
  </si>
  <si>
    <t xml:space="preserve">Devkit ships with no/limited onboard storage</t>
  </si>
  <si>
    <t xml:space="preserve">Subtotal — Option A compute</t>
  </si>
  <si>
    <t xml:space="preserve">COMPUTE — OPTION B: CPU-only IPC (no on-device GPU — classical CV, lighter models, or inference offloaded elsewhere)</t>
  </si>
  <si>
    <t xml:space="preserve">Minisforum UM790 Pro</t>
  </si>
  <si>
    <t xml:space="preserve">Ryzen 9 7940HS, 32GB DDR5 / 1TB SSD</t>
  </si>
  <si>
    <t xml:space="preserve">Not fully fanless (quiet active cooling) — for silent/dustproof, swap for an industrial fanless N100/Core-i IPC chassis</t>
  </si>
  <si>
    <t xml:space="preserve">Subtotal — Option B compute</t>
  </si>
  <si>
    <t xml:space="preserve">VISION</t>
  </si>
  <si>
    <t xml:space="preserve">Camera</t>
  </si>
  <si>
    <t xml:space="preserve">Intel RealSense D435i</t>
  </si>
  <si>
    <t xml:space="preserve">Depth + RGB + IMU, USB-C 3.1, global shutter</t>
  </si>
  <si>
    <t xml:space="preserve">Primary recommendation — general-purpose depth camera for this line width</t>
  </si>
  <si>
    <t xml:space="preserve">Camera (alt)</t>
  </si>
  <si>
    <t xml:space="preserve">Intel RealSense D455</t>
  </si>
  <si>
    <t xml:space="preserve">Longer range / wider FOV variant</t>
  </si>
  <si>
    <t xml:space="preserve">Swap in only if D435i's ~10m range or FOV is too narrow for your conveyor — qty 0 by default</t>
  </si>
  <si>
    <t xml:space="preserve">Lighting</t>
  </si>
  <si>
    <t xml:space="preserve">CCS PFB2 series LED bar light</t>
  </si>
  <si>
    <t xml:space="preserve">Machine-vision grade, white, 24V, diffuse</t>
  </si>
  <si>
    <t xml:space="preserve">Consistent lighting matters more than camera choice for defect recall — CCS/Smart Vision Lights/Advanced Illumination are the standard brands</t>
  </si>
  <si>
    <t xml:space="preserve">Cabling</t>
  </si>
  <si>
    <t xml:space="preserve">Newnex FireNEX-uCON3P</t>
  </si>
  <si>
    <t xml:space="preserve">Active locking USB 3.0 cable, 5m, machine-vision grade</t>
  </si>
  <si>
    <t xml:space="preserve">Standard USB3 cables are unreliable past ~2m on a factory floor — Newnex is the common machine-vision brand for this</t>
  </si>
  <si>
    <t xml:space="preserve">Subtotal — Vision</t>
  </si>
  <si>
    <t xml:space="preserve">SENSING &amp; I/O</t>
  </si>
  <si>
    <t xml:space="preserve">Sensor</t>
  </si>
  <si>
    <t xml:space="preserve">Omron E3Z-D62</t>
  </si>
  <si>
    <t xml:space="preserve">Diffuse photoelectric, 1000mm range, PNP/NPN, M8 conn.</t>
  </si>
  <si>
    <t xml:space="preserve">Triggers capture in sync with each part on the conveyor — real Omron part, confirm range needed for your line</t>
  </si>
  <si>
    <t xml:space="preserve">I/O</t>
  </si>
  <si>
    <t xml:space="preserve">Advantech ADAM-6060</t>
  </si>
  <si>
    <t xml:space="preserve">Ethernet I/O module, 6 relay out / 6 DI, 24V</t>
  </si>
  <si>
    <t xml:space="preserve">Drives the reject actuator / diverter from a pass-fail signal over the network, not USB</t>
  </si>
  <si>
    <t xml:space="preserve">Subtotal — Sensing &amp; I/O</t>
  </si>
  <si>
    <t xml:space="preserve">ENCLOSURE &amp; MOUNTING</t>
  </si>
  <si>
    <t xml:space="preserve">Enclosure</t>
  </si>
  <si>
    <t xml:space="preserve">Hammond 1554 series</t>
  </si>
  <si>
    <t xml:space="preserve">IP54 aluminum enclosure, ~300x200x150mm, vented</t>
  </si>
  <si>
    <t xml:space="preserve">Houses compute + I/O module over/beside the line — Hammond/Bud Industries are common industrial enclosure brands</t>
  </si>
  <si>
    <t xml:space="preserve">Mounting</t>
  </si>
  <si>
    <t xml:space="preserve">80/20 Inc. T-slot extrusion + clamps</t>
  </si>
  <si>
    <t xml:space="preserve">1010/1515 series aluminum extrusion, adjustable</t>
  </si>
  <si>
    <t xml:space="preserve">Positions the housing over the conveyor, as in the render — 80/20 or Misumi are the standard brands for this</t>
  </si>
  <si>
    <t xml:space="preserve">Cooling</t>
  </si>
  <si>
    <t xml:space="preserve">Enclosure fan + dust filter</t>
  </si>
  <si>
    <t xml:space="preserve">For heat buildup inside the sealed housing</t>
  </si>
  <si>
    <t xml:space="preserve">Skip if the enclosure and ambient temp keep compute within spec</t>
  </si>
  <si>
    <t xml:space="preserve">Subtotal — Enclosure &amp; Mounting</t>
  </si>
  <si>
    <t xml:space="preserve">POWER &amp; NETWORKING</t>
  </si>
  <si>
    <t xml:space="preserve">Power</t>
  </si>
  <si>
    <t xml:space="preserve">Mean Well MDR-60-24</t>
  </si>
  <si>
    <t xml:space="preserve">DIN rail PSU, 24V/2.5A, 60W</t>
  </si>
  <si>
    <t xml:space="preserve">Compute unit uses its own included power brick — Mean Well is the standard brand for DIN-rail industrial PSUs</t>
  </si>
  <si>
    <t xml:space="preserve">Networking</t>
  </si>
  <si>
    <t xml:space="preserve">Cat6 cable + connectors</t>
  </si>
  <si>
    <t xml:space="preserve">Misc runs from panel to switch/PLC</t>
  </si>
  <si>
    <t xml:space="preserve">Rough allowance — actual run length varies by install</t>
  </si>
  <si>
    <t xml:space="preserve">Moxa EDS-205A</t>
  </si>
  <si>
    <t xml:space="preserve">5-port unmanaged industrial switch, DIN rail</t>
  </si>
  <si>
    <t xml:space="preserve">Only needed if the AI box talks to a PLC/HMI/network separately</t>
  </si>
  <si>
    <t xml:space="preserve">Subtotal — Power &amp; Networking</t>
  </si>
  <si>
    <t xml:space="preserve">OPTIONAL ADD-ONS (not included in totals below)</t>
  </si>
  <si>
    <t xml:space="preserve">Indicator</t>
  </si>
  <si>
    <t xml:space="preserve">Patlite LR6 series</t>
  </si>
  <si>
    <t xml:space="preserve">Red/green LED signal tower light, 24V</t>
  </si>
  <si>
    <t xml:space="preserve">Patlite/Banner Engineering are the standard industrial stack light brands</t>
  </si>
  <si>
    <t xml:space="preserve">HMI</t>
  </si>
  <si>
    <t xml:space="preserve">7" industrial touchscreen</t>
  </si>
  <si>
    <t xml:space="preserve">Operator-facing status/override display</t>
  </si>
  <si>
    <t xml:space="preserve">Small UPS / line conditioner</t>
  </si>
  <si>
    <t xml:space="preserve">Protects against factory power fluctuation</t>
  </si>
  <si>
    <t xml:space="preserve">Subtotal — Optional add-ons</t>
  </si>
  <si>
    <t xml:space="preserve">TOTAL — Option A (Jetson AGX Orin, on-device GPU)</t>
  </si>
  <si>
    <t xml:space="preserve">TOTAL — Option B (CPU-only IPC, no GPU)</t>
  </si>
  <si>
    <t xml:space="preserve">+ Optional add-ons (either option)</t>
  </si>
  <si>
    <t xml:space="preserve">Which option: if MetriQ is running a trained detection/classification model at line speed, Option A's on-device GPU is the safer default. Option B only holds up if inference is classical CV/thresholding, a very light model, or offloaded to a separate server — confirm your actual model's throughput on CPU before committing to it for a live line.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</si>
</sst>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8.5"/>
      <color rgb="FF5A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8E0E8"/>
        <bgColor rgb="FFD9D9D9"/>
      </patternFill>
    </fill>
    <fill>
      <patternFill patternType="solid">
        <fgColor rgb="FFFFE9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8E0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0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4" t="s">
        <v>8</v>
      </c>
    </row>
    <row r="5" customFormat="false" ht="1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35.05" hidden="false" customHeight="false" outlineLevel="0" collapsed="false">
      <c r="A6" s="5" t="s">
        <v>10</v>
      </c>
      <c r="B6" s="6" t="s">
        <v>11</v>
      </c>
      <c r="C6" s="6" t="s">
        <v>12</v>
      </c>
      <c r="D6" s="5" t="n">
        <v>1</v>
      </c>
      <c r="E6" s="7" t="n">
        <v>2000</v>
      </c>
      <c r="F6" s="7" t="n">
        <f aca="false">D6*E6</f>
        <v>2000</v>
      </c>
      <c r="G6" s="6" t="s">
        <v>13</v>
      </c>
    </row>
    <row r="7" customFormat="false" ht="15" hidden="false" customHeight="false" outlineLevel="0" collapsed="false">
      <c r="A7" s="5" t="s">
        <v>14</v>
      </c>
      <c r="B7" s="6" t="s">
        <v>15</v>
      </c>
      <c r="C7" s="6" t="s">
        <v>16</v>
      </c>
      <c r="D7" s="5" t="n">
        <v>1</v>
      </c>
      <c r="E7" s="7" t="n">
        <v>75</v>
      </c>
      <c r="F7" s="7" t="n">
        <f aca="false">D7*E7</f>
        <v>75</v>
      </c>
      <c r="G7" s="6" t="s">
        <v>17</v>
      </c>
    </row>
    <row r="8" customFormat="false" ht="15" hidden="false" customHeight="false" outlineLevel="0" collapsed="false">
      <c r="A8" s="8" t="s">
        <v>18</v>
      </c>
      <c r="B8" s="8"/>
      <c r="C8" s="8"/>
      <c r="D8" s="8"/>
      <c r="E8" s="8"/>
      <c r="F8" s="9" t="n">
        <f aca="false">SUM(F6:F7)</f>
        <v>2075</v>
      </c>
      <c r="G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true" outlineLevel="0" collapsed="false">
      <c r="A10" s="4" t="s">
        <v>19</v>
      </c>
      <c r="B10" s="4"/>
      <c r="C10" s="4"/>
      <c r="D10" s="4"/>
      <c r="E10" s="4"/>
      <c r="F10" s="4"/>
      <c r="G10" s="4"/>
    </row>
    <row r="11" customFormat="false" ht="35.05" hidden="false" customHeight="false" outlineLevel="0" collapsed="false">
      <c r="A11" s="5" t="s">
        <v>10</v>
      </c>
      <c r="B11" s="6" t="s">
        <v>20</v>
      </c>
      <c r="C11" s="6" t="s">
        <v>21</v>
      </c>
      <c r="D11" s="5" t="n">
        <v>1</v>
      </c>
      <c r="E11" s="7" t="n">
        <v>589</v>
      </c>
      <c r="F11" s="7" t="n">
        <f aca="false">D11*E11</f>
        <v>589</v>
      </c>
      <c r="G11" s="6" t="s">
        <v>22</v>
      </c>
    </row>
    <row r="12" customFormat="false" ht="15" hidden="false" customHeight="false" outlineLevel="0" collapsed="false">
      <c r="A12" s="8" t="s">
        <v>23</v>
      </c>
      <c r="B12" s="8"/>
      <c r="C12" s="8"/>
      <c r="D12" s="8"/>
      <c r="E12" s="8"/>
      <c r="F12" s="9" t="n">
        <f aca="false">SUM(F11:F11)</f>
        <v>589</v>
      </c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true" outlineLevel="0" collapsed="false">
      <c r="A14" s="4" t="s">
        <v>24</v>
      </c>
      <c r="B14" s="4"/>
      <c r="C14" s="4"/>
      <c r="D14" s="4"/>
      <c r="E14" s="4"/>
      <c r="F14" s="4"/>
      <c r="G14" s="4"/>
    </row>
    <row r="15" customFormat="false" ht="23.85" hidden="false" customHeight="false" outlineLevel="0" collapsed="false">
      <c r="A15" s="5" t="s">
        <v>25</v>
      </c>
      <c r="B15" s="6" t="s">
        <v>26</v>
      </c>
      <c r="C15" s="6" t="s">
        <v>27</v>
      </c>
      <c r="D15" s="5" t="n">
        <v>1</v>
      </c>
      <c r="E15" s="7" t="n">
        <v>349</v>
      </c>
      <c r="F15" s="7" t="n">
        <f aca="false">D15*E15</f>
        <v>349</v>
      </c>
      <c r="G15" s="6" t="s">
        <v>28</v>
      </c>
    </row>
    <row r="16" customFormat="false" ht="23.85" hidden="false" customHeight="false" outlineLevel="0" collapsed="false">
      <c r="A16" s="5" t="s">
        <v>29</v>
      </c>
      <c r="B16" s="6" t="s">
        <v>30</v>
      </c>
      <c r="C16" s="6" t="s">
        <v>31</v>
      </c>
      <c r="D16" s="5" t="n">
        <v>0</v>
      </c>
      <c r="E16" s="7" t="n">
        <v>479</v>
      </c>
      <c r="F16" s="7" t="n">
        <f aca="false">D16*E16</f>
        <v>0</v>
      </c>
      <c r="G16" s="6" t="s">
        <v>32</v>
      </c>
    </row>
    <row r="17" customFormat="false" ht="46.25" hidden="false" customHeight="false" outlineLevel="0" collapsed="false">
      <c r="A17" s="5" t="s">
        <v>33</v>
      </c>
      <c r="B17" s="6" t="s">
        <v>34</v>
      </c>
      <c r="C17" s="6" t="s">
        <v>35</v>
      </c>
      <c r="D17" s="5" t="n">
        <v>1</v>
      </c>
      <c r="E17" s="7" t="n">
        <v>140</v>
      </c>
      <c r="F17" s="7" t="n">
        <f aca="false">D17*E17</f>
        <v>140</v>
      </c>
      <c r="G17" s="6" t="s">
        <v>36</v>
      </c>
    </row>
    <row r="18" customFormat="false" ht="35.05" hidden="false" customHeight="false" outlineLevel="0" collapsed="false">
      <c r="A18" s="5" t="s">
        <v>37</v>
      </c>
      <c r="B18" s="6" t="s">
        <v>38</v>
      </c>
      <c r="C18" s="6" t="s">
        <v>39</v>
      </c>
      <c r="D18" s="5" t="n">
        <v>1</v>
      </c>
      <c r="E18" s="7" t="n">
        <v>95</v>
      </c>
      <c r="F18" s="7" t="n">
        <f aca="false">D18*E18</f>
        <v>95</v>
      </c>
      <c r="G18" s="6" t="s">
        <v>40</v>
      </c>
    </row>
    <row r="19" customFormat="false" ht="15" hidden="false" customHeight="false" outlineLevel="0" collapsed="false">
      <c r="A19" s="8" t="s">
        <v>41</v>
      </c>
      <c r="B19" s="8"/>
      <c r="C19" s="8"/>
      <c r="D19" s="8"/>
      <c r="E19" s="8"/>
      <c r="F19" s="9" t="n">
        <f aca="false">SUM(F15:F18)</f>
        <v>584</v>
      </c>
      <c r="G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true" outlineLevel="0" collapsed="false">
      <c r="A21" s="4" t="s">
        <v>42</v>
      </c>
      <c r="B21" s="4"/>
      <c r="C21" s="4"/>
      <c r="D21" s="4"/>
      <c r="E21" s="4"/>
      <c r="F21" s="4"/>
      <c r="G21" s="4"/>
    </row>
    <row r="22" customFormat="false" ht="35.05" hidden="false" customHeight="false" outlineLevel="0" collapsed="false">
      <c r="A22" s="5" t="s">
        <v>43</v>
      </c>
      <c r="B22" s="6" t="s">
        <v>44</v>
      </c>
      <c r="C22" s="6" t="s">
        <v>45</v>
      </c>
      <c r="D22" s="5" t="n">
        <v>1</v>
      </c>
      <c r="E22" s="7" t="n">
        <v>55</v>
      </c>
      <c r="F22" s="7" t="n">
        <f aca="false">D22*E22</f>
        <v>55</v>
      </c>
      <c r="G22" s="6" t="s">
        <v>46</v>
      </c>
    </row>
    <row r="23" customFormat="false" ht="23.85" hidden="false" customHeight="false" outlineLevel="0" collapsed="false">
      <c r="A23" s="5" t="s">
        <v>47</v>
      </c>
      <c r="B23" s="6" t="s">
        <v>48</v>
      </c>
      <c r="C23" s="6" t="s">
        <v>49</v>
      </c>
      <c r="D23" s="5" t="n">
        <v>1</v>
      </c>
      <c r="E23" s="7" t="n">
        <v>175</v>
      </c>
      <c r="F23" s="7" t="n">
        <f aca="false">D23*E23</f>
        <v>175</v>
      </c>
      <c r="G23" s="6" t="s">
        <v>50</v>
      </c>
    </row>
    <row r="24" customFormat="false" ht="15" hidden="false" customHeight="false" outlineLevel="0" collapsed="false">
      <c r="A24" s="8" t="s">
        <v>51</v>
      </c>
      <c r="B24" s="8"/>
      <c r="C24" s="8"/>
      <c r="D24" s="8"/>
      <c r="E24" s="8"/>
      <c r="F24" s="9" t="n">
        <f aca="false">SUM(F22:F23)</f>
        <v>230</v>
      </c>
      <c r="G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</row>
    <row r="26" customFormat="false" ht="15" hidden="false" customHeight="true" outlineLevel="0" collapsed="false">
      <c r="A26" s="4" t="s">
        <v>52</v>
      </c>
      <c r="B26" s="4"/>
      <c r="C26" s="4"/>
      <c r="D26" s="4"/>
      <c r="E26" s="4"/>
      <c r="F26" s="4"/>
      <c r="G26" s="4"/>
    </row>
    <row r="27" customFormat="false" ht="35.05" hidden="false" customHeight="false" outlineLevel="0" collapsed="false">
      <c r="A27" s="5" t="s">
        <v>53</v>
      </c>
      <c r="B27" s="6" t="s">
        <v>54</v>
      </c>
      <c r="C27" s="6" t="s">
        <v>55</v>
      </c>
      <c r="D27" s="5" t="n">
        <v>1</v>
      </c>
      <c r="E27" s="7" t="n">
        <v>180</v>
      </c>
      <c r="F27" s="7" t="n">
        <f aca="false">D27*E27</f>
        <v>180</v>
      </c>
      <c r="G27" s="6" t="s">
        <v>56</v>
      </c>
    </row>
    <row r="28" customFormat="false" ht="35.05" hidden="false" customHeight="false" outlineLevel="0" collapsed="false">
      <c r="A28" s="5" t="s">
        <v>57</v>
      </c>
      <c r="B28" s="6" t="s">
        <v>58</v>
      </c>
      <c r="C28" s="6" t="s">
        <v>59</v>
      </c>
      <c r="D28" s="5" t="n">
        <v>1</v>
      </c>
      <c r="E28" s="7" t="n">
        <v>95</v>
      </c>
      <c r="F28" s="7" t="n">
        <f aca="false">D28*E28</f>
        <v>95</v>
      </c>
      <c r="G28" s="6" t="s">
        <v>60</v>
      </c>
    </row>
    <row r="29" customFormat="false" ht="23.85" hidden="false" customHeight="false" outlineLevel="0" collapsed="false">
      <c r="A29" s="5" t="s">
        <v>61</v>
      </c>
      <c r="B29" s="6" t="s">
        <v>62</v>
      </c>
      <c r="C29" s="6" t="s">
        <v>63</v>
      </c>
      <c r="D29" s="5" t="n">
        <v>1</v>
      </c>
      <c r="E29" s="7" t="n">
        <v>25</v>
      </c>
      <c r="F29" s="7" t="n">
        <f aca="false">D29*E29</f>
        <v>25</v>
      </c>
      <c r="G29" s="6" t="s">
        <v>64</v>
      </c>
    </row>
    <row r="30" customFormat="false" ht="15" hidden="false" customHeight="false" outlineLevel="0" collapsed="false">
      <c r="A30" s="8" t="s">
        <v>65</v>
      </c>
      <c r="B30" s="8"/>
      <c r="C30" s="8"/>
      <c r="D30" s="8"/>
      <c r="E30" s="8"/>
      <c r="F30" s="9" t="n">
        <f aca="false">SUM(F27:F29)</f>
        <v>300</v>
      </c>
      <c r="G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</row>
    <row r="32" customFormat="false" ht="15" hidden="false" customHeight="true" outlineLevel="0" collapsed="false">
      <c r="A32" s="4" t="s">
        <v>66</v>
      </c>
      <c r="B32" s="4"/>
      <c r="C32" s="4"/>
      <c r="D32" s="4"/>
      <c r="E32" s="4"/>
      <c r="F32" s="4"/>
      <c r="G32" s="4"/>
    </row>
    <row r="33" customFormat="false" ht="35.05" hidden="false" customHeight="false" outlineLevel="0" collapsed="false">
      <c r="A33" s="5" t="s">
        <v>67</v>
      </c>
      <c r="B33" s="6" t="s">
        <v>68</v>
      </c>
      <c r="C33" s="6" t="s">
        <v>69</v>
      </c>
      <c r="D33" s="5" t="n">
        <v>1</v>
      </c>
      <c r="E33" s="7" t="n">
        <v>30</v>
      </c>
      <c r="F33" s="7" t="n">
        <f aca="false">D33*E33</f>
        <v>30</v>
      </c>
      <c r="G33" s="6" t="s">
        <v>70</v>
      </c>
    </row>
    <row r="34" customFormat="false" ht="23.85" hidden="false" customHeight="false" outlineLevel="0" collapsed="false">
      <c r="A34" s="5" t="s">
        <v>71</v>
      </c>
      <c r="B34" s="6" t="s">
        <v>72</v>
      </c>
      <c r="C34" s="6" t="s">
        <v>73</v>
      </c>
      <c r="D34" s="5" t="n">
        <v>1</v>
      </c>
      <c r="E34" s="7" t="n">
        <v>30</v>
      </c>
      <c r="F34" s="7" t="n">
        <f aca="false">D34*E34</f>
        <v>30</v>
      </c>
      <c r="G34" s="6" t="s">
        <v>74</v>
      </c>
    </row>
    <row r="35" customFormat="false" ht="23.85" hidden="false" customHeight="false" outlineLevel="0" collapsed="false">
      <c r="A35" s="5" t="s">
        <v>71</v>
      </c>
      <c r="B35" s="6" t="s">
        <v>75</v>
      </c>
      <c r="C35" s="6" t="s">
        <v>76</v>
      </c>
      <c r="D35" s="5" t="n">
        <v>1</v>
      </c>
      <c r="E35" s="7" t="n">
        <v>65</v>
      </c>
      <c r="F35" s="7" t="n">
        <f aca="false">D35*E35</f>
        <v>65</v>
      </c>
      <c r="G35" s="6" t="s">
        <v>77</v>
      </c>
    </row>
    <row r="36" customFormat="false" ht="15" hidden="false" customHeight="false" outlineLevel="0" collapsed="false">
      <c r="A36" s="8" t="s">
        <v>78</v>
      </c>
      <c r="B36" s="8"/>
      <c r="C36" s="8"/>
      <c r="D36" s="8"/>
      <c r="E36" s="8"/>
      <c r="F36" s="9" t="n">
        <f aca="false">SUM(F33:F35)</f>
        <v>125</v>
      </c>
      <c r="G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</row>
    <row r="38" customFormat="false" ht="15" hidden="false" customHeight="true" outlineLevel="0" collapsed="false">
      <c r="A38" s="4" t="s">
        <v>79</v>
      </c>
      <c r="B38" s="4"/>
      <c r="C38" s="4"/>
      <c r="D38" s="4"/>
      <c r="E38" s="4"/>
      <c r="F38" s="4"/>
      <c r="G38" s="4"/>
    </row>
    <row r="39" customFormat="false" ht="23.85" hidden="false" customHeight="false" outlineLevel="0" collapsed="false">
      <c r="A39" s="5" t="s">
        <v>80</v>
      </c>
      <c r="B39" s="6" t="s">
        <v>81</v>
      </c>
      <c r="C39" s="6" t="s">
        <v>82</v>
      </c>
      <c r="D39" s="5" t="n">
        <v>1</v>
      </c>
      <c r="E39" s="7" t="n">
        <v>75</v>
      </c>
      <c r="F39" s="7" t="n">
        <f aca="false">D39*E39</f>
        <v>75</v>
      </c>
      <c r="G39" s="6" t="s">
        <v>83</v>
      </c>
    </row>
    <row r="40" customFormat="false" ht="23.85" hidden="false" customHeight="false" outlineLevel="0" collapsed="false">
      <c r="A40" s="5" t="s">
        <v>84</v>
      </c>
      <c r="B40" s="6" t="s">
        <v>85</v>
      </c>
      <c r="C40" s="6" t="s">
        <v>86</v>
      </c>
      <c r="D40" s="5" t="n">
        <v>1</v>
      </c>
      <c r="E40" s="7" t="n">
        <v>150</v>
      </c>
      <c r="F40" s="7" t="n">
        <f aca="false">D40*E40</f>
        <v>150</v>
      </c>
      <c r="G40" s="6"/>
    </row>
    <row r="41" customFormat="false" ht="23.85" hidden="false" customHeight="false" outlineLevel="0" collapsed="false">
      <c r="A41" s="5" t="s">
        <v>67</v>
      </c>
      <c r="B41" s="6" t="s">
        <v>87</v>
      </c>
      <c r="C41" s="6" t="s">
        <v>88</v>
      </c>
      <c r="D41" s="5" t="n">
        <v>1</v>
      </c>
      <c r="E41" s="7" t="n">
        <v>80</v>
      </c>
      <c r="F41" s="7" t="n">
        <f aca="false">D41*E41</f>
        <v>80</v>
      </c>
      <c r="G41" s="6"/>
    </row>
    <row r="42" customFormat="false" ht="15" hidden="false" customHeight="false" outlineLevel="0" collapsed="false">
      <c r="A42" s="8" t="s">
        <v>89</v>
      </c>
      <c r="B42" s="8"/>
      <c r="C42" s="8"/>
      <c r="D42" s="8"/>
      <c r="E42" s="8"/>
      <c r="F42" s="9" t="n">
        <f aca="false">SUM(F39:F41)</f>
        <v>305</v>
      </c>
      <c r="G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</row>
    <row r="45" customFormat="false" ht="15" hidden="false" customHeight="false" outlineLevel="0" collapsed="false">
      <c r="A45" s="11" t="s">
        <v>90</v>
      </c>
      <c r="B45" s="11"/>
      <c r="C45" s="11"/>
      <c r="D45" s="11"/>
      <c r="E45" s="11"/>
      <c r="F45" s="12" t="n">
        <f aca="false">F8+F19+F24+F30+F36</f>
        <v>3314</v>
      </c>
      <c r="G45" s="10"/>
    </row>
    <row r="46" customFormat="false" ht="15" hidden="false" customHeight="false" outlineLevel="0" collapsed="false">
      <c r="A46" s="11" t="s">
        <v>91</v>
      </c>
      <c r="B46" s="11"/>
      <c r="C46" s="11"/>
      <c r="D46" s="11"/>
      <c r="E46" s="11"/>
      <c r="F46" s="12" t="n">
        <f aca="false">F12+F19+F24+F30+F36</f>
        <v>1828</v>
      </c>
      <c r="G46" s="10"/>
    </row>
    <row r="47" customFormat="false" ht="15" hidden="false" customHeight="false" outlineLevel="0" collapsed="false">
      <c r="A47" s="13" t="s">
        <v>92</v>
      </c>
      <c r="B47" s="13"/>
      <c r="C47" s="13"/>
      <c r="D47" s="13"/>
      <c r="E47" s="13"/>
      <c r="F47" s="14" t="n">
        <f aca="false">F42</f>
        <v>305</v>
      </c>
      <c r="G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</row>
    <row r="49" customFormat="false" ht="39.75" hidden="false" customHeight="true" outlineLevel="0" collapsed="false">
      <c r="A49" s="15" t="s">
        <v>93</v>
      </c>
      <c r="B49" s="15"/>
      <c r="C49" s="15"/>
      <c r="D49" s="15"/>
      <c r="E49" s="15"/>
      <c r="F49" s="15"/>
      <c r="G49" s="15"/>
    </row>
  </sheetData>
  <mergeCells count="20">
    <mergeCell ref="A1:G1"/>
    <mergeCell ref="A2:G2"/>
    <mergeCell ref="A5:G5"/>
    <mergeCell ref="A8:E8"/>
    <mergeCell ref="A10:G10"/>
    <mergeCell ref="A12:E12"/>
    <mergeCell ref="A14:G14"/>
    <mergeCell ref="A19:E19"/>
    <mergeCell ref="A21:G21"/>
    <mergeCell ref="A24:E24"/>
    <mergeCell ref="A26:G26"/>
    <mergeCell ref="A30:E30"/>
    <mergeCell ref="A32:G32"/>
    <mergeCell ref="A36:E36"/>
    <mergeCell ref="A38:G38"/>
    <mergeCell ref="A42:E42"/>
    <mergeCell ref="A45:E45"/>
    <mergeCell ref="A46:E46"/>
    <mergeCell ref="A47:E47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2026-09-30T01:20:53Z</dcterms:created>
  <dc:creator>openpyxl</dc:creator>
  <dc:description/>
  <dc:language>en-US</dc:language>
  <cp:lastModifiedBy/>
  <dcterms:modified xsi:type="dcterms:W3CDTF">2026-09-30T01:20:53Z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