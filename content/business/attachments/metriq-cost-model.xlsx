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economics" state="visible" r:id="rId4"/>
    <sheet sheetId="2" name="Funding" state="visible" r:id="rId5"/>
  </sheets>
  <calcPr calcId="171027" fullCalcOnLoad="1"/>
</workbook>
</file>

<file path=xl/sharedStrings.xml><?xml version="1.0" encoding="utf-8"?>
<sst xmlns="http://schemas.openxmlformats.org/spreadsheetml/2006/main" count="83" uniqueCount="73">
  <si>
    <t>MetriQ unit economics (USD, per unit)</t>
  </si>
  <si>
    <t>Blue = input you can change. Black = formula. Yellow = key assumption to confirm.</t>
  </si>
  <si>
    <t>Item</t>
  </si>
  <si>
    <t>MetriQ Pro</t>
  </si>
  <si>
    <t>MetriQ Lite</t>
  </si>
  <si>
    <t>Note</t>
  </si>
  <si>
    <t>Edge computer + storage</t>
  </si>
  <si>
    <t>Pro: Jetson AGX Orin 64GB $2,000 + 1TB NVMe $75. Lite: Minisforum UM790 Pro $589. Source: metriq-ai-box-bom.xlsx</t>
  </si>
  <si>
    <t>Camera, lighting, cable</t>
  </si>
  <si>
    <t>RealSense D435i $349, CCS LED bar $140, Newnex USB3 cable $95. Source: BOM</t>
  </si>
  <si>
    <t>Trigger sensor and reject I/O</t>
  </si>
  <si>
    <t>Omron E3Z-D62 $55, Advantech ADAM-6060 $175. Source: BOM</t>
  </si>
  <si>
    <t>Enclosure and mounting</t>
  </si>
  <si>
    <t>Source: BOM subtotal</t>
  </si>
  <si>
    <t>Power and networking</t>
  </si>
  <si>
    <t>Stack light, touchscreen, UPS</t>
  </si>
  <si>
    <t>Patlite tower $75, 7in HMI $150, UPS $80. Source: BOM optional add-ons</t>
  </si>
  <si>
    <t>Hardware total</t>
  </si>
  <si>
    <t>Single-unit prices, before shipping, duty and VAT (September 2026)</t>
  </si>
  <si>
    <t>Assumptions</t>
  </si>
  <si>
    <t>Shipping, duty, assembly (% of hardware)</t>
  </si>
  <si>
    <t>Assumption - replace with real landed cost after first import</t>
  </si>
  <si>
    <t>Installation and travel per unit</t>
  </si>
  <si>
    <t>Assumption - 1 engineer, 1-2 days on site incl. travel</t>
  </si>
  <si>
    <t>Proposed price - Pro</t>
  </si>
  <si>
    <t>Draft - owner to approve</t>
  </si>
  <si>
    <t>Proposed price - Lite</t>
  </si>
  <si>
    <t>Result</t>
  </si>
  <si>
    <t>Shipping, duty, assembly</t>
  </si>
  <si>
    <t>Installation and travel</t>
  </si>
  <si>
    <t>Delivered cost</t>
  </si>
  <si>
    <t>Proposed price</t>
  </si>
  <si>
    <t>Gross profit</t>
  </si>
  <si>
    <t>Gross margin (%)</t>
  </si>
  <si>
    <t>Customer payback (Vietnam)</t>
  </si>
  <si>
    <t>Inspectors replaced per shift</t>
  </si>
  <si>
    <t>Assumption - confirm in pilots</t>
  </si>
  <si>
    <t>Shifts per day</t>
  </si>
  <si>
    <t>Monthly wage per inspector</t>
  </si>
  <si>
    <t>About VND 8.4M per month, Q1 2025. Source: Vietnam Briefing, Vietnam wages 2025</t>
  </si>
  <si>
    <t>Annual saving for customer</t>
  </si>
  <si>
    <t>Payback - Pro (months)</t>
  </si>
  <si>
    <t>Payback - Lite (months)</t>
  </si>
  <si>
    <t>Funding request and use of funds (USD)</t>
  </si>
  <si>
    <t>Use of funds</t>
  </si>
  <si>
    <t>USD</t>
  </si>
  <si>
    <t>Share (%)</t>
  </si>
  <si>
    <t>Stock for 10 stations (hardware, landed)</t>
  </si>
  <si>
    <t>Mix of Pro and Lite hardware incl. landed cost</t>
  </si>
  <si>
    <t>2 demo stations (Vietnam, Canada)</t>
  </si>
  <si>
    <t>Station + demo conveyor each</t>
  </si>
  <si>
    <t>Engineering: reject kit, reports, installer</t>
  </si>
  <si>
    <t>Contract engineering, 12 months</t>
  </si>
  <si>
    <t>Sales and marketing: trade shows, demos, travel</t>
  </si>
  <si>
    <t/>
  </si>
  <si>
    <t>Electrical safety certification (CE / CSA)</t>
  </si>
  <si>
    <t>Estimate - get quotes</t>
  </si>
  <si>
    <t>Contingency</t>
  </si>
  <si>
    <t>12.5% of total</t>
  </si>
  <si>
    <t>Total loan</t>
  </si>
  <si>
    <t>Loan terms</t>
  </si>
  <si>
    <t>Annual interest rate</t>
  </si>
  <si>
    <t>Assumption - set by lender</t>
  </si>
  <si>
    <t>Term (years)</t>
  </si>
  <si>
    <t>Monthly payment</t>
  </si>
  <si>
    <t>Annual payment</t>
  </si>
  <si>
    <t>Pro units per year to cover payments</t>
  </si>
  <si>
    <t>Year-1 sales plan</t>
  </si>
  <si>
    <t>Units</t>
  </si>
  <si>
    <t>Revenue</t>
  </si>
  <si>
    <t>Total</t>
  </si>
  <si>
    <t>Gross profit after loan payments</t>
  </si>
  <si>
    <t>Year-1 unit targets are draft (owner to confirm). Support-plan revenue is not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</si>
</sst>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;($#,##0);&quot;-&quot;"/>
    <numFmt numFmtId="165" formatCode="0.0"/>
    <numFmt numFmtId="166" formatCode="0.0%"/>
  </numFmts>
  <fonts count="7" x14ac:knownFonts="1">
    <font>
      <color theme="1"/>
      <family val="2"/>
      <scheme val="minor"/>
      <sz val="11"/>
      <name val="Calibri"/>
    </font>
    <font>
      <b/>
      <sz val="13"/>
      <name val="Arial"/>
    </font>
    <font>
      <sz val="10"/>
      <name val="Arial"/>
    </font>
    <font>
      <b/>
      <color rgb="FFFFFFFF"/>
      <sz val="10"/>
      <name val="Arial"/>
    </font>
    <font>
      <color rgb="FF0000FF"/>
      <sz val="10"/>
      <name val="Arial"/>
    </font>
    <font>
      <b/>
      <sz val="10"/>
      <name val="Arial"/>
    </font>
    <font>
      <color rgb="FF008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D2D3D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4" fillId="0" borderId="0" xfId="0" applyNumberFormat="1" applyFont="1"/>
    <xf numFmtId="0" fontId="5" fillId="0" borderId="0" xfId="0" applyFont="1"/>
    <xf numFmtId="164" fontId="5" fillId="0" borderId="0" xfId="0" applyNumberFormat="1" applyFont="1"/>
    <xf numFmtId="9" fontId="4" fillId="3" borderId="0" xfId="0" applyNumberFormat="1" applyFont="1" applyFill="1"/>
    <xf numFmtId="164" fontId="4" fillId="3" borderId="0" xfId="0" applyNumberFormat="1" applyFont="1" applyFill="1"/>
    <xf numFmtId="164" fontId="2" fillId="0" borderId="0" xfId="0" applyNumberFormat="1" applyFont="1"/>
    <xf numFmtId="165" fontId="2" fillId="0" borderId="0" xfId="0" applyNumberFormat="1" applyFont="1"/>
    <xf numFmtId="0" fontId="4" fillId="3" borderId="0" xfId="0" applyFont="1" applyFill="1"/>
    <xf numFmtId="0" fontId="4" fillId="0" borderId="0" xfId="0" applyFont="1"/>
    <xf numFmtId="165" fontId="5" fillId="0" borderId="0" xfId="0" applyNumberFormat="1" applyFont="1"/>
    <xf numFmtId="166" fontId="4" fillId="3" borderId="0" xfId="0" applyNumberFormat="1" applyFont="1" applyFill="1"/>
    <xf numFmtId="0" fontId="6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 showGridLines="0"/>
  </sheetViews>
  <sheetFormatPr defaultRowHeight="15" outlineLevelRow="0" outlineLevelCol="0" x14ac:dyDescent="55"/>
  <cols>
    <col min="1" max="1" width="40" customWidth="1"/>
    <col min="2" max="3" width="14" customWidth="1"/>
    <col min="4" max="4" width="84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2" t="s">
        <v>6</v>
      </c>
      <c r="B5" s="4">
        <v>2075</v>
      </c>
      <c r="C5" s="4">
        <v>589</v>
      </c>
      <c r="D5" s="2" t="s">
        <v>7</v>
      </c>
    </row>
    <row r="6" spans="1:4" x14ac:dyDescent="0.25">
      <c r="A6" s="2" t="s">
        <v>8</v>
      </c>
      <c r="B6" s="4">
        <v>584</v>
      </c>
      <c r="C6" s="4">
        <v>584</v>
      </c>
      <c r="D6" s="2" t="s">
        <v>9</v>
      </c>
    </row>
    <row r="7" spans="1:4" x14ac:dyDescent="0.25">
      <c r="A7" s="2" t="s">
        <v>10</v>
      </c>
      <c r="B7" s="4">
        <v>230</v>
      </c>
      <c r="C7" s="4">
        <v>230</v>
      </c>
      <c r="D7" s="2" t="s">
        <v>11</v>
      </c>
    </row>
    <row r="8" spans="1:4" x14ac:dyDescent="0.25">
      <c r="A8" s="2" t="s">
        <v>12</v>
      </c>
      <c r="B8" s="4">
        <v>300</v>
      </c>
      <c r="C8" s="4">
        <v>300</v>
      </c>
      <c r="D8" s="2" t="s">
        <v>13</v>
      </c>
    </row>
    <row r="9" spans="1:4" x14ac:dyDescent="0.25">
      <c r="A9" s="2" t="s">
        <v>14</v>
      </c>
      <c r="B9" s="4">
        <v>125</v>
      </c>
      <c r="C9" s="4">
        <v>125</v>
      </c>
      <c r="D9" s="2" t="s">
        <v>13</v>
      </c>
    </row>
    <row r="10" spans="1:4" x14ac:dyDescent="0.25">
      <c r="A10" s="2" t="s">
        <v>15</v>
      </c>
      <c r="B10" s="4">
        <v>305</v>
      </c>
      <c r="C10" s="4">
        <v>305</v>
      </c>
      <c r="D10" s="2" t="s">
        <v>16</v>
      </c>
    </row>
    <row r="11" spans="1:4" x14ac:dyDescent="0.25">
      <c r="A11" s="5" t="s">
        <v>17</v>
      </c>
      <c r="B11" s="6">
        <f>SUM(B5:B10)</f>
        <v>3619</v>
      </c>
      <c r="C11" s="6">
        <f>SUM(C5:C10)</f>
        <v>2133</v>
      </c>
      <c r="D11" s="2" t="s">
        <v>18</v>
      </c>
    </row>
    <row r="13" spans="1:1" x14ac:dyDescent="0.25">
      <c r="A13" s="5" t="s">
        <v>19</v>
      </c>
    </row>
    <row r="14" spans="1:4" x14ac:dyDescent="0.25">
      <c r="A14" s="2" t="s">
        <v>20</v>
      </c>
      <c r="B14" s="7">
        <v>0.2</v>
      </c>
      <c r="D14" s="2" t="s">
        <v>21</v>
      </c>
    </row>
    <row r="15" spans="1:4" x14ac:dyDescent="0.25">
      <c r="A15" s="2" t="s">
        <v>22</v>
      </c>
      <c r="B15" s="8">
        <v>800</v>
      </c>
      <c r="D15" s="2" t="s">
        <v>23</v>
      </c>
    </row>
    <row r="16" spans="1:4" x14ac:dyDescent="0.25">
      <c r="A16" s="2" t="s">
        <v>24</v>
      </c>
      <c r="B16" s="8">
        <v>14000</v>
      </c>
      <c r="D16" s="2" t="s">
        <v>25</v>
      </c>
    </row>
    <row r="17" spans="1:4" x14ac:dyDescent="0.25">
      <c r="A17" s="2" t="s">
        <v>26</v>
      </c>
      <c r="B17" s="8">
        <v>9000</v>
      </c>
      <c r="D17" s="2" t="s">
        <v>25</v>
      </c>
    </row>
    <row r="19" spans="1:4" x14ac:dyDescent="0.25">
      <c r="A19" s="3" t="s">
        <v>27</v>
      </c>
      <c r="B19" s="3" t="s">
        <v>3</v>
      </c>
      <c r="C19" s="3" t="s">
        <v>4</v>
      </c>
      <c r="D19" s="3" t="s">
        <v>5</v>
      </c>
    </row>
    <row r="20" spans="1:3" x14ac:dyDescent="0.25">
      <c r="A20" s="2" t="s">
        <v>17</v>
      </c>
      <c r="B20" s="9">
        <f>B11</f>
        <v>3619</v>
      </c>
      <c r="C20" s="9">
        <f>C11</f>
        <v>2133</v>
      </c>
    </row>
    <row r="21" spans="1:3" x14ac:dyDescent="0.25">
      <c r="A21" s="2" t="s">
        <v>28</v>
      </c>
      <c r="B21" s="9">
        <f>ROUND(B20*$B$14,0)</f>
        <v>724</v>
      </c>
      <c r="C21" s="9">
        <f>ROUND(C20*$B$14,0)</f>
        <v>427</v>
      </c>
    </row>
    <row r="22" spans="1:3" x14ac:dyDescent="0.25">
      <c r="A22" s="2" t="s">
        <v>29</v>
      </c>
      <c r="B22" s="9">
        <f>$B$15</f>
        <v>800</v>
      </c>
      <c r="C22" s="9">
        <f>$B$15</f>
        <v>800</v>
      </c>
    </row>
    <row r="23" spans="1:3" x14ac:dyDescent="0.25">
      <c r="A23" s="5" t="s">
        <v>30</v>
      </c>
      <c r="B23" s="6">
        <f>SUM(B20:B22)</f>
        <v>5143</v>
      </c>
      <c r="C23" s="6">
        <f>SUM(C20:C22)</f>
        <v>3360</v>
      </c>
    </row>
    <row r="24" spans="1:3" x14ac:dyDescent="0.25">
      <c r="A24" s="2" t="s">
        <v>31</v>
      </c>
      <c r="B24" s="9">
        <f>B16</f>
        <v>14000</v>
      </c>
      <c r="C24" s="9">
        <f>B17</f>
        <v>9000</v>
      </c>
    </row>
    <row r="25" spans="1:3" x14ac:dyDescent="0.25">
      <c r="A25" s="5" t="s">
        <v>32</v>
      </c>
      <c r="B25" s="6">
        <f>B24-B23</f>
        <v>8857</v>
      </c>
      <c r="C25" s="6">
        <f>C24-C23</f>
        <v>5640</v>
      </c>
    </row>
    <row r="26" spans="1:3" x14ac:dyDescent="0.25">
      <c r="A26" s="2" t="s">
        <v>33</v>
      </c>
      <c r="B26" s="10">
        <f>IF(B24=0,0,ROUND(B25/B24*100,1))</f>
        <v>63.3</v>
      </c>
      <c r="C26" s="10">
        <f>IF(C24=0,0,ROUND(C25/C24*100,1))</f>
        <v>62.7</v>
      </c>
    </row>
    <row r="28" spans="1:1" x14ac:dyDescent="0.25">
      <c r="A28" s="5" t="s">
        <v>34</v>
      </c>
    </row>
    <row r="29" spans="1:4" x14ac:dyDescent="0.25">
      <c r="A29" s="2" t="s">
        <v>35</v>
      </c>
      <c r="B29" s="11">
        <v>2</v>
      </c>
      <c r="D29" s="2" t="s">
        <v>36</v>
      </c>
    </row>
    <row r="30" spans="1:2" x14ac:dyDescent="0.25">
      <c r="A30" s="2" t="s">
        <v>37</v>
      </c>
      <c r="B30" s="12">
        <v>2</v>
      </c>
    </row>
    <row r="31" spans="1:4" x14ac:dyDescent="0.25">
      <c r="A31" s="2" t="s">
        <v>38</v>
      </c>
      <c r="B31" s="4">
        <v>332</v>
      </c>
      <c r="D31" s="2" t="s">
        <v>39</v>
      </c>
    </row>
    <row r="32" spans="1:2" x14ac:dyDescent="0.25">
      <c r="A32" s="2" t="s">
        <v>40</v>
      </c>
      <c r="B32" s="9">
        <f>B29*B30*B31*12</f>
        <v>15936</v>
      </c>
    </row>
    <row r="33" spans="1:2" x14ac:dyDescent="0.25">
      <c r="A33" s="2" t="s">
        <v>41</v>
      </c>
      <c r="B33" s="10">
        <f>IF(B32=0,0,ROUND(B24/B32*12,1))</f>
        <v>10.5</v>
      </c>
    </row>
    <row r="34" spans="1:2" x14ac:dyDescent="0.25">
      <c r="A34" s="2" t="s">
        <v>42</v>
      </c>
      <c r="B34" s="10">
        <f>IF(B32=0,0,ROUND(C24/B32*12,1))</f>
        <v>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/>
  </sheetViews>
  <sheetFormatPr defaultRowHeight="15" outlineLevelRow="0" outlineLevelCol="0" x14ac:dyDescent="55"/>
  <cols>
    <col min="1" max="1" width="46" customWidth="1"/>
    <col min="2" max="2" width="12" customWidth="1"/>
    <col min="3" max="3" width="14" customWidth="1"/>
    <col min="4" max="4" width="60" customWidth="1"/>
  </cols>
  <sheetData>
    <row r="1" spans="1:1" x14ac:dyDescent="0.25">
      <c r="A1" s="1" t="s">
        <v>43</v>
      </c>
    </row>
    <row r="3" spans="1:4" x14ac:dyDescent="0.25">
      <c r="A3" s="3" t="s">
        <v>44</v>
      </c>
      <c r="B3" s="3" t="s">
        <v>45</v>
      </c>
      <c r="C3" s="3" t="s">
        <v>46</v>
      </c>
      <c r="D3" s="3" t="s">
        <v>5</v>
      </c>
    </row>
    <row r="4" spans="1:4" x14ac:dyDescent="0.25">
      <c r="A4" s="2" t="s">
        <v>47</v>
      </c>
      <c r="B4" s="4">
        <v>43000</v>
      </c>
      <c r="C4" s="10">
        <f>IF($B$10=0,0,ROUND(B4/$B$10*100,1))</f>
        <v>35.8</v>
      </c>
      <c r="D4" s="2" t="s">
        <v>48</v>
      </c>
    </row>
    <row r="5" spans="1:4" x14ac:dyDescent="0.25">
      <c r="A5" s="2" t="s">
        <v>49</v>
      </c>
      <c r="B5" s="4">
        <v>12000</v>
      </c>
      <c r="C5" s="10">
        <f>IF($B$10=0,0,ROUND(B5/$B$10*100,1))</f>
        <v>10</v>
      </c>
      <c r="D5" s="2" t="s">
        <v>50</v>
      </c>
    </row>
    <row r="6" spans="1:4" x14ac:dyDescent="0.25">
      <c r="A6" s="2" t="s">
        <v>51</v>
      </c>
      <c r="B6" s="4">
        <v>30000</v>
      </c>
      <c r="C6" s="10">
        <f>IF($B$10=0,0,ROUND(B6/$B$10*100,1))</f>
        <v>25</v>
      </c>
      <c r="D6" s="2" t="s">
        <v>52</v>
      </c>
    </row>
    <row r="7" spans="1:4" x14ac:dyDescent="0.25">
      <c r="A7" s="2" t="s">
        <v>53</v>
      </c>
      <c r="B7" s="4">
        <v>12000</v>
      </c>
      <c r="C7" s="10">
        <f>IF($B$10=0,0,ROUND(B7/$B$10*100,1))</f>
        <v>10</v>
      </c>
      <c r="D7" s="2" t="s">
        <v>54</v>
      </c>
    </row>
    <row r="8" spans="1:4" x14ac:dyDescent="0.25">
      <c r="A8" s="2" t="s">
        <v>55</v>
      </c>
      <c r="B8" s="4">
        <v>8000</v>
      </c>
      <c r="C8" s="10">
        <f>IF($B$10=0,0,ROUND(B8/$B$10*100,1))</f>
        <v>6.7</v>
      </c>
      <c r="D8" s="2" t="s">
        <v>56</v>
      </c>
    </row>
    <row r="9" spans="1:4" x14ac:dyDescent="0.25">
      <c r="A9" s="2" t="s">
        <v>57</v>
      </c>
      <c r="B9" s="4">
        <v>15000</v>
      </c>
      <c r="C9" s="10">
        <f>IF($B$10=0,0,ROUND(B9/$B$10*100,1))</f>
        <v>12.5</v>
      </c>
      <c r="D9" s="2" t="s">
        <v>58</v>
      </c>
    </row>
    <row r="10" spans="1:3" x14ac:dyDescent="0.25">
      <c r="A10" s="5" t="s">
        <v>59</v>
      </c>
      <c r="B10" s="6">
        <f>SUM(B4:B9)</f>
        <v>120000</v>
      </c>
      <c r="C10" s="13">
        <f>SUM(C4:C9)</f>
        <v>100</v>
      </c>
    </row>
    <row r="12" spans="1:1" x14ac:dyDescent="0.25">
      <c r="A12" s="5" t="s">
        <v>60</v>
      </c>
    </row>
    <row r="13" spans="1:4" x14ac:dyDescent="0.25">
      <c r="A13" s="2" t="s">
        <v>61</v>
      </c>
      <c r="B13" s="14">
        <v>0.1</v>
      </c>
      <c r="D13" s="2" t="s">
        <v>62</v>
      </c>
    </row>
    <row r="14" spans="1:2" x14ac:dyDescent="0.25">
      <c r="A14" s="2" t="s">
        <v>63</v>
      </c>
      <c r="B14" s="11">
        <v>5</v>
      </c>
    </row>
    <row r="15" spans="1:2" x14ac:dyDescent="0.25">
      <c r="A15" s="2" t="s">
        <v>64</v>
      </c>
      <c r="B15" s="6">
        <f>ROUND(PMT(B13/12,B14*12,-B10),0)</f>
        <v>2550</v>
      </c>
    </row>
    <row r="16" spans="1:2" x14ac:dyDescent="0.25">
      <c r="A16" s="2" t="s">
        <v>65</v>
      </c>
      <c r="B16" s="9">
        <f>B15*12</f>
        <v>30600</v>
      </c>
    </row>
    <row r="17" spans="1:2" x14ac:dyDescent="0.25">
      <c r="A17" s="2" t="s">
        <v>66</v>
      </c>
      <c r="B17" s="15">
        <f>IF('Unit economics'!B25&lt;=0,0,ROUNDUP(B16/'Unit economics'!B25,0))</f>
        <v>4</v>
      </c>
    </row>
    <row r="19" spans="1:4" x14ac:dyDescent="0.25">
      <c r="A19" s="3" t="s">
        <v>67</v>
      </c>
      <c r="B19" s="3" t="s">
        <v>68</v>
      </c>
      <c r="C19" s="3" t="s">
        <v>69</v>
      </c>
      <c r="D19" s="3" t="s">
        <v>32</v>
      </c>
    </row>
    <row r="20" spans="1:4" x14ac:dyDescent="0.25">
      <c r="A20" s="2" t="s">
        <v>3</v>
      </c>
      <c r="B20" s="11">
        <v>8</v>
      </c>
      <c r="C20" s="16">
        <f>B20*'Unit economics'!B24</f>
        <v>112000</v>
      </c>
      <c r="D20" s="16">
        <f>B20*'Unit economics'!B25</f>
        <v>70856</v>
      </c>
    </row>
    <row r="21" spans="1:4" x14ac:dyDescent="0.25">
      <c r="A21" s="2" t="s">
        <v>4</v>
      </c>
      <c r="B21" s="11">
        <v>4</v>
      </c>
      <c r="C21" s="16">
        <f>B21*'Unit economics'!C24</f>
        <v>36000</v>
      </c>
      <c r="D21" s="16">
        <f>B21*'Unit economics'!C25</f>
        <v>22560</v>
      </c>
    </row>
    <row r="22" spans="1:4" x14ac:dyDescent="0.25">
      <c r="A22" s="5" t="s">
        <v>70</v>
      </c>
      <c r="B22" s="5">
        <f>B20+B21</f>
        <v>12</v>
      </c>
      <c r="C22" s="6">
        <f>C20+C21</f>
        <v>148000</v>
      </c>
      <c r="D22" s="6">
        <f>D20+D21</f>
        <v>93416</v>
      </c>
    </row>
    <row r="23" spans="1:4" x14ac:dyDescent="0.25">
      <c r="A23" s="2" t="s">
        <v>71</v>
      </c>
      <c r="D23" s="6">
        <f>D22-B16</f>
        <v>62816</v>
      </c>
    </row>
    <row r="25" spans="1:1" x14ac:dyDescent="0.25">
      <c r="A25" s="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 economics</vt:lpstr>
      <vt:lpstr>Funding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MTRobotics</dc:creator>
  <dc:title/>
  <dc:subject/>
  <dc:description/>
  <cp:keywords/>
  <cp:category/>
  <cp:lastModifiedBy>Unknown</cp:lastModifiedBy>
  <dcterms:created xsi:type="dcterms:W3CDTF">2026-10-08T01:41:18Z</dcterms:created>
  <dcterms:modified xsi:type="dcterms:W3CDTF">2026-10-08T01:41:18Z</dcterms:modified>
</cp:coreProperties>
</file>